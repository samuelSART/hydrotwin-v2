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iza\Box Sync\V3\V3_proyectos\GEMELO_DIGITAL_CHS_IN3210_2021\3.Informacion_durante_el_proyecto\05-Fase_II_implem\Scripts_MM\Python_hidrologic_model\pywr\02-Modelo_PHDS1521\CONFIG\"/>
    </mc:Choice>
  </mc:AlternateContent>
  <xr:revisionPtr revIDLastSave="0" documentId="13_ncr:1_{8D3CD1B8-7B52-40A0-8CCC-884A838FBFD5}" xr6:coauthVersionLast="47" xr6:coauthVersionMax="47" xr10:uidLastSave="{00000000-0000-0000-0000-000000000000}"/>
  <bookViews>
    <workbookView xWindow="-113" yWindow="-113" windowWidth="24267" windowHeight="13148" activeTab="3" xr2:uid="{00000000-000D-0000-FFFF-FFFF00000000}"/>
  </bookViews>
  <sheets>
    <sheet name="tipos_agua" sheetId="6" r:id="rId1"/>
    <sheet name="tipos_demanda" sheetId="5" r:id="rId2"/>
    <sheet name="coste_medio_recursos_detalle" sheetId="9" r:id="rId3"/>
    <sheet name="costes_IDAM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9" l="1"/>
</calcChain>
</file>

<file path=xl/sharedStrings.xml><?xml version="1.0" encoding="utf-8"?>
<sst xmlns="http://schemas.openxmlformats.org/spreadsheetml/2006/main" count="89" uniqueCount="66">
  <si>
    <t>UDU</t>
  </si>
  <si>
    <t>Abastecimiento urbano</t>
  </si>
  <si>
    <t>AMBIENTAL</t>
  </si>
  <si>
    <t>Demandas medioambientales, como restricción al sistema</t>
  </si>
  <si>
    <t>Regadío tradicional</t>
  </si>
  <si>
    <t>UDAO</t>
  </si>
  <si>
    <t>Otros regadíos</t>
  </si>
  <si>
    <t>UDI</t>
  </si>
  <si>
    <t>Demanda industrial (no conectada)</t>
  </si>
  <si>
    <t>UDRG</t>
  </si>
  <si>
    <t>Demanda para riego de los campos de golf</t>
  </si>
  <si>
    <t>descrip</t>
  </si>
  <si>
    <t>Superficiales de Río Segura</t>
  </si>
  <si>
    <t>Superficiales de Trasvase Tajo-Segura</t>
  </si>
  <si>
    <t>Superficiales de Trasvase Negratín-Almanzora</t>
  </si>
  <si>
    <t>Superficiales de Aguas Reutilizadas  (Depuradas Urbanas y de Retornos de Riego, Azarbes)</t>
  </si>
  <si>
    <t>Superficiales Desaladas del Mar</t>
  </si>
  <si>
    <t>Subterraneas Renovables cuenca del Segura</t>
  </si>
  <si>
    <t>Subterraneas No Renovables cuenca del Segura</t>
  </si>
  <si>
    <t>id_num</t>
  </si>
  <si>
    <t>id_text</t>
  </si>
  <si>
    <t>RIO_SEGURA</t>
  </si>
  <si>
    <t>TRTS</t>
  </si>
  <si>
    <t>TRNA</t>
  </si>
  <si>
    <t>EDAR</t>
  </si>
  <si>
    <t>IDAM</t>
  </si>
  <si>
    <t>SUBRE</t>
  </si>
  <si>
    <t>SUBNORE</t>
  </si>
  <si>
    <t>UDA</t>
  </si>
  <si>
    <t>tipo_agua_superficial</t>
  </si>
  <si>
    <t>tipo_agua_subterranea</t>
  </si>
  <si>
    <t>id_pywr</t>
  </si>
  <si>
    <t>tipo_agua_desalada</t>
  </si>
  <si>
    <t>tipo_agua_reutilizada</t>
  </si>
  <si>
    <t>tipo_agua_trasvase</t>
  </si>
  <si>
    <t>prioridad</t>
  </si>
  <si>
    <t>agriculture</t>
  </si>
  <si>
    <t>wetland</t>
  </si>
  <si>
    <t>urban</t>
  </si>
  <si>
    <t>other_agriculture_demands</t>
  </si>
  <si>
    <t>industry</t>
  </si>
  <si>
    <t>golf</t>
  </si>
  <si>
    <t>Lugar de aplicación</t>
  </si>
  <si>
    <t>IDAM TORREVIEJA</t>
  </si>
  <si>
    <t>En los puntos de entrega para regadío de la red de distribución de la desaladora.</t>
  </si>
  <si>
    <t>IDAM ÁGUILAS</t>
  </si>
  <si>
    <t>En los puntos de entrega para regadío de la red de distribución de la desaladora, hasta la balsa del Cerro Colorado.</t>
  </si>
  <si>
    <t>IDAM VALDELENTISCO</t>
  </si>
  <si>
    <t>IDAM ALICANTE I</t>
  </si>
  <si>
    <t>A pie de planta</t>
  </si>
  <si>
    <t>CONDUCCIÓN JÚCAR-VINALOPÓ</t>
  </si>
  <si>
    <t>En punto de conexión con el postrasvase</t>
  </si>
  <si>
    <t>Dato</t>
  </si>
  <si>
    <t>Valor</t>
  </si>
  <si>
    <t>Unidad</t>
  </si>
  <si>
    <t>Coste_aguas_naturales_superficiales</t>
  </si>
  <si>
    <t>€/m³</t>
  </si>
  <si>
    <t>Coste_aguas_naturales_subterraneas_min</t>
  </si>
  <si>
    <t>Coste_aguas_naturales_subterraneas_max</t>
  </si>
  <si>
    <t>Coste_aguas_Trasvase_Segura</t>
  </si>
  <si>
    <t>Coste_aguas_aguas_regeneradas</t>
  </si>
  <si>
    <t>Coste_aguas_desalinizacion</t>
  </si>
  <si>
    <t>coste_medio_euro_por_m3</t>
  </si>
  <si>
    <t>mean</t>
  </si>
  <si>
    <t>Coste_aguas_Trasvase_Negratin</t>
  </si>
  <si>
    <t>tarifa_riego_euro_por_m3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</si>
</sst>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FD3E-5B1B-4586-B9E9-BC0185FEABB8}">
  <dimension ref="A1:F8"/>
  <sheetViews>
    <sheetView workbookViewId="0">
      <selection activeCell="C2" sqref="C2"/>
    </sheetView>
  </sheetViews>
  <sheetFormatPr defaultRowHeight="15.05" x14ac:dyDescent="0.3"/>
  <cols>
    <col min="1" max="1" width="7.44140625" bestFit="1" customWidth="1"/>
    <col min="2" max="2" width="11.6640625" bestFit="1" customWidth="1"/>
    <col min="3" max="3" width="20.109375" bestFit="1" customWidth="1"/>
    <col min="4" max="4" width="8.6640625" bestFit="1" customWidth="1"/>
    <col min="5" max="5" width="75" bestFit="1" customWidth="1"/>
    <col min="6" max="6" width="24.5546875" bestFit="1" customWidth="1"/>
  </cols>
  <sheetData>
    <row r="1" spans="1:6" x14ac:dyDescent="0.3">
      <c r="A1" s="2" t="s">
        <v>19</v>
      </c>
      <c r="B1" s="2" t="s">
        <v>20</v>
      </c>
      <c r="C1" s="2" t="s">
        <v>31</v>
      </c>
      <c r="D1" s="2" t="s">
        <v>35</v>
      </c>
      <c r="E1" s="2" t="s">
        <v>11</v>
      </c>
      <c r="F1" s="2" t="s">
        <v>62</v>
      </c>
    </row>
    <row r="2" spans="1:6" x14ac:dyDescent="0.3">
      <c r="A2">
        <v>1</v>
      </c>
      <c r="B2" t="s">
        <v>21</v>
      </c>
      <c r="C2" t="s">
        <v>29</v>
      </c>
      <c r="D2">
        <v>2</v>
      </c>
      <c r="E2" t="s">
        <v>12</v>
      </c>
      <c r="F2">
        <v>3.0000000000000001E-3</v>
      </c>
    </row>
    <row r="3" spans="1:6" x14ac:dyDescent="0.3">
      <c r="A3">
        <v>2</v>
      </c>
      <c r="B3" t="s">
        <v>22</v>
      </c>
      <c r="C3" t="s">
        <v>34</v>
      </c>
      <c r="D3">
        <v>3</v>
      </c>
      <c r="E3" t="s">
        <v>13</v>
      </c>
      <c r="F3">
        <v>0.15</v>
      </c>
    </row>
    <row r="4" spans="1:6" x14ac:dyDescent="0.3">
      <c r="A4">
        <v>3</v>
      </c>
      <c r="B4" t="s">
        <v>23</v>
      </c>
      <c r="C4" t="s">
        <v>34</v>
      </c>
      <c r="D4">
        <v>3</v>
      </c>
      <c r="E4" t="s">
        <v>14</v>
      </c>
      <c r="F4">
        <v>0.15</v>
      </c>
    </row>
    <row r="5" spans="1:6" x14ac:dyDescent="0.3">
      <c r="A5">
        <v>4</v>
      </c>
      <c r="B5" t="s">
        <v>24</v>
      </c>
      <c r="C5" t="s">
        <v>33</v>
      </c>
      <c r="D5">
        <v>1</v>
      </c>
      <c r="E5" t="s">
        <v>15</v>
      </c>
      <c r="F5">
        <v>0</v>
      </c>
    </row>
    <row r="6" spans="1:6" x14ac:dyDescent="0.3">
      <c r="A6">
        <v>5</v>
      </c>
      <c r="B6" t="s">
        <v>25</v>
      </c>
      <c r="C6" t="s">
        <v>32</v>
      </c>
      <c r="D6">
        <v>5</v>
      </c>
      <c r="E6" t="s">
        <v>16</v>
      </c>
      <c r="F6">
        <v>0.6</v>
      </c>
    </row>
    <row r="7" spans="1:6" x14ac:dyDescent="0.3">
      <c r="A7">
        <v>6</v>
      </c>
      <c r="B7" t="s">
        <v>26</v>
      </c>
      <c r="C7" t="s">
        <v>30</v>
      </c>
      <c r="D7">
        <v>4</v>
      </c>
      <c r="E7" t="s">
        <v>17</v>
      </c>
      <c r="F7">
        <v>0.25</v>
      </c>
    </row>
    <row r="8" spans="1:6" x14ac:dyDescent="0.3">
      <c r="A8">
        <v>7</v>
      </c>
      <c r="B8" t="s">
        <v>27</v>
      </c>
      <c r="C8" t="s">
        <v>30</v>
      </c>
      <c r="D8">
        <v>4</v>
      </c>
      <c r="E8" t="s">
        <v>18</v>
      </c>
      <c r="F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8BB3-D6DD-42A2-91AE-8F6E7C7BA33F}">
  <dimension ref="A1:E7"/>
  <sheetViews>
    <sheetView workbookViewId="0">
      <selection activeCell="E12" sqref="E12"/>
    </sheetView>
  </sheetViews>
  <sheetFormatPr defaultRowHeight="15.05" x14ac:dyDescent="0.3"/>
  <cols>
    <col min="1" max="1" width="7.44140625" bestFit="1" customWidth="1"/>
    <col min="2" max="2" width="10.77734375" bestFit="1" customWidth="1"/>
    <col min="3" max="3" width="23.77734375" bestFit="1" customWidth="1"/>
    <col min="4" max="4" width="8.6640625" bestFit="1" customWidth="1"/>
    <col min="5" max="5" width="49.109375" bestFit="1" customWidth="1"/>
  </cols>
  <sheetData>
    <row r="1" spans="1:5" x14ac:dyDescent="0.3">
      <c r="A1" s="1" t="s">
        <v>19</v>
      </c>
      <c r="B1" s="1" t="s">
        <v>20</v>
      </c>
      <c r="C1" s="1" t="s">
        <v>31</v>
      </c>
      <c r="D1" s="1" t="s">
        <v>35</v>
      </c>
      <c r="E1" s="1" t="s">
        <v>11</v>
      </c>
    </row>
    <row r="2" spans="1:5" x14ac:dyDescent="0.3">
      <c r="A2" s="3">
        <v>1</v>
      </c>
      <c r="B2" s="3" t="s">
        <v>0</v>
      </c>
      <c r="C2" s="3" t="s">
        <v>38</v>
      </c>
      <c r="D2" s="3">
        <v>1</v>
      </c>
      <c r="E2" s="3" t="s">
        <v>1</v>
      </c>
    </row>
    <row r="3" spans="1:5" x14ac:dyDescent="0.3">
      <c r="A3" s="3">
        <v>2</v>
      </c>
      <c r="B3" s="3" t="s">
        <v>2</v>
      </c>
      <c r="C3" s="3" t="s">
        <v>37</v>
      </c>
      <c r="D3" s="3">
        <v>2</v>
      </c>
      <c r="E3" s="3" t="s">
        <v>3</v>
      </c>
    </row>
    <row r="4" spans="1:5" x14ac:dyDescent="0.3">
      <c r="A4" s="3">
        <v>3</v>
      </c>
      <c r="B4" s="3" t="s">
        <v>28</v>
      </c>
      <c r="C4" s="3" t="s">
        <v>36</v>
      </c>
      <c r="D4" s="3">
        <v>3</v>
      </c>
      <c r="E4" s="3" t="s">
        <v>4</v>
      </c>
    </row>
    <row r="5" spans="1:5" x14ac:dyDescent="0.3">
      <c r="A5" s="3">
        <v>4</v>
      </c>
      <c r="B5" s="3" t="s">
        <v>5</v>
      </c>
      <c r="C5" s="3" t="s">
        <v>39</v>
      </c>
      <c r="D5" s="3">
        <v>4</v>
      </c>
      <c r="E5" s="3" t="s">
        <v>6</v>
      </c>
    </row>
    <row r="6" spans="1:5" x14ac:dyDescent="0.3">
      <c r="A6" s="3">
        <v>5</v>
      </c>
      <c r="B6" s="3" t="s">
        <v>7</v>
      </c>
      <c r="C6" s="3" t="s">
        <v>40</v>
      </c>
      <c r="D6" s="3">
        <v>5</v>
      </c>
      <c r="E6" s="3" t="s">
        <v>8</v>
      </c>
    </row>
    <row r="7" spans="1:5" x14ac:dyDescent="0.3">
      <c r="A7" s="3">
        <v>6</v>
      </c>
      <c r="B7" s="3" t="s">
        <v>9</v>
      </c>
      <c r="C7" s="3" t="s">
        <v>41</v>
      </c>
      <c r="D7" s="3">
        <v>6</v>
      </c>
      <c r="E7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F7A3-A01A-403E-A3C8-7C4B0F7FED5D}">
  <dimension ref="A1:F8"/>
  <sheetViews>
    <sheetView workbookViewId="0">
      <selection activeCell="B9" sqref="B9"/>
    </sheetView>
  </sheetViews>
  <sheetFormatPr defaultRowHeight="15.05" x14ac:dyDescent="0.3"/>
  <cols>
    <col min="1" max="1" width="36.5546875" bestFit="1" customWidth="1"/>
    <col min="2" max="2" width="11.6640625" bestFit="1" customWidth="1"/>
    <col min="3" max="3" width="12.88671875" customWidth="1"/>
    <col min="4" max="4" width="10.44140625" customWidth="1"/>
    <col min="5" max="5" width="2.44140625" customWidth="1"/>
    <col min="6" max="6" width="5.77734375" bestFit="1" customWidth="1"/>
  </cols>
  <sheetData>
    <row r="1" spans="1:6" x14ac:dyDescent="0.3">
      <c r="A1" s="2" t="s">
        <v>52</v>
      </c>
      <c r="B1" s="2" t="s">
        <v>20</v>
      </c>
      <c r="C1" s="2" t="s">
        <v>53</v>
      </c>
      <c r="D1" s="2" t="s">
        <v>54</v>
      </c>
      <c r="E1" s="2"/>
      <c r="F1" s="2" t="s">
        <v>63</v>
      </c>
    </row>
    <row r="2" spans="1:6" x14ac:dyDescent="0.3">
      <c r="A2" t="s">
        <v>55</v>
      </c>
      <c r="B2" t="s">
        <v>21</v>
      </c>
      <c r="C2">
        <v>3.0000000000000001E-3</v>
      </c>
      <c r="D2" t="s">
        <v>56</v>
      </c>
    </row>
    <row r="3" spans="1:6" x14ac:dyDescent="0.3">
      <c r="A3" t="s">
        <v>57</v>
      </c>
      <c r="B3" t="s">
        <v>26</v>
      </c>
      <c r="C3">
        <v>0.1</v>
      </c>
      <c r="D3" t="s">
        <v>56</v>
      </c>
      <c r="F3" s="4">
        <f>(C3+C4)/2</f>
        <v>0.25</v>
      </c>
    </row>
    <row r="4" spans="1:6" x14ac:dyDescent="0.3">
      <c r="A4" t="s">
        <v>58</v>
      </c>
      <c r="B4" t="s">
        <v>27</v>
      </c>
      <c r="C4">
        <v>0.4</v>
      </c>
      <c r="D4" t="s">
        <v>56</v>
      </c>
      <c r="F4" s="4"/>
    </row>
    <row r="5" spans="1:6" x14ac:dyDescent="0.3">
      <c r="A5" t="s">
        <v>59</v>
      </c>
      <c r="B5" t="s">
        <v>22</v>
      </c>
      <c r="C5">
        <v>0.15</v>
      </c>
      <c r="D5" t="s">
        <v>56</v>
      </c>
    </row>
    <row r="6" spans="1:6" x14ac:dyDescent="0.3">
      <c r="A6" t="s">
        <v>64</v>
      </c>
      <c r="B6" t="s">
        <v>23</v>
      </c>
      <c r="C6">
        <v>0.15</v>
      </c>
      <c r="D6" t="s">
        <v>56</v>
      </c>
    </row>
    <row r="7" spans="1:6" x14ac:dyDescent="0.3">
      <c r="A7" t="s">
        <v>60</v>
      </c>
      <c r="B7" t="s">
        <v>24</v>
      </c>
      <c r="C7">
        <v>0</v>
      </c>
      <c r="D7" t="s">
        <v>56</v>
      </c>
    </row>
    <row r="8" spans="1:6" x14ac:dyDescent="0.3">
      <c r="A8" t="s">
        <v>61</v>
      </c>
      <c r="B8" t="s">
        <v>25</v>
      </c>
      <c r="C8">
        <v>0.6</v>
      </c>
      <c r="D8" t="s">
        <v>56</v>
      </c>
    </row>
  </sheetData>
  <mergeCells count="1">
    <mergeCell ref="F3:F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E52C-E3F5-47CE-9C96-96AC2B3E0418}">
  <dimension ref="A1:C6"/>
  <sheetViews>
    <sheetView tabSelected="1" workbookViewId="0">
      <selection activeCell="B9" sqref="B9"/>
    </sheetView>
  </sheetViews>
  <sheetFormatPr defaultRowHeight="15.05" x14ac:dyDescent="0.3"/>
  <cols>
    <col min="1" max="1" width="28.33203125" bestFit="1" customWidth="1"/>
    <col min="2" max="2" width="23.44140625" bestFit="1" customWidth="1"/>
    <col min="3" max="3" width="95.77734375" bestFit="1" customWidth="1"/>
  </cols>
  <sheetData>
    <row r="1" spans="1:3" x14ac:dyDescent="0.3">
      <c r="A1" s="2" t="s">
        <v>25</v>
      </c>
      <c r="B1" s="1" t="s">
        <v>65</v>
      </c>
      <c r="C1" s="2" t="s">
        <v>42</v>
      </c>
    </row>
    <row r="2" spans="1:3" x14ac:dyDescent="0.3">
      <c r="A2" t="s">
        <v>43</v>
      </c>
      <c r="B2">
        <v>0.34799999999999998</v>
      </c>
      <c r="C2" t="s">
        <v>44</v>
      </c>
    </row>
    <row r="3" spans="1:3" x14ac:dyDescent="0.3">
      <c r="A3" t="s">
        <v>45</v>
      </c>
      <c r="B3">
        <v>0.41899999999999998</v>
      </c>
      <c r="C3" t="s">
        <v>46</v>
      </c>
    </row>
    <row r="4" spans="1:3" x14ac:dyDescent="0.3">
      <c r="A4" t="s">
        <v>47</v>
      </c>
      <c r="B4">
        <v>0.40899999999999997</v>
      </c>
      <c r="C4" t="s">
        <v>44</v>
      </c>
    </row>
    <row r="5" spans="1:3" x14ac:dyDescent="0.3">
      <c r="A5" t="s">
        <v>48</v>
      </c>
      <c r="B5">
        <v>0.36199999999999999</v>
      </c>
      <c r="C5" t="s">
        <v>49</v>
      </c>
    </row>
    <row r="6" spans="1:3" x14ac:dyDescent="0.3">
      <c r="A6" t="s">
        <v>50</v>
      </c>
      <c r="B6">
        <v>0.29499999999999998</v>
      </c>
      <c r="C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tipos_agua</vt:lpstr>
      <vt:lpstr>tipos_demanda</vt:lpstr>
      <vt:lpstr>coste_medio_recursos_detalle</vt:lpstr>
      <vt:lpstr>costes_IDAMS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Maiza Galparsoro</dc:creator>
  <cp:lastModifiedBy>Mikel Maiza Galparsoro</cp:lastModifiedBy>
  <dcterms:created xsi:type="dcterms:W3CDTF">2022-07-29T09:22:07Z</dcterms:created>
  <dcterms:modified xsi:type="dcterms:W3CDTF">2022-11-03T07:43:36Z</dcterms:modified>
</cp:coreProperties>
</file>