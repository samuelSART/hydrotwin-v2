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iza\Box Sync\V3\V3_proyectos\GEMELO_DIGITAL_CHS_IN3210_2021\3.Informacion_durante_el_proyecto\05-Fase_II_implem\Scripts_MM\Python_hidrologic_model\pywr\02-Modelo_PHDS1521\IN\"/>
    </mc:Choice>
  </mc:AlternateContent>
  <xr:revisionPtr revIDLastSave="0" documentId="13_ncr:1_{751A656B-095D-41CF-9898-5051B38FDDD1}" xr6:coauthVersionLast="47" xr6:coauthVersionMax="47" xr10:uidLastSave="{00000000-0000-0000-0000-000000000000}"/>
  <bookViews>
    <workbookView xWindow="-113" yWindow="-113" windowWidth="24267" windowHeight="13148" activeTab="1" xr2:uid="{C5534D2B-5164-433A-BE89-B1E775969651}"/>
  </bookViews>
  <sheets>
    <sheet name="RECURSOS_HM3_YEAR" sheetId="1" r:id="rId1"/>
    <sheet name="RECURSOS_CLASIFICADOS_HM3_YEAR" sheetId="3" r:id="rId2"/>
    <sheet name="DEMANDAS-HM3-YEA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G6" i="3" s="1"/>
  <c r="C6" i="3"/>
  <c r="B6" i="3"/>
  <c r="A6" i="3"/>
  <c r="F3" i="2"/>
  <c r="H3" i="2" s="1"/>
  <c r="O3" i="1"/>
  <c r="N3" i="1"/>
  <c r="M3" i="1"/>
  <c r="G3" i="2" l="1"/>
</calcChain>
</file>

<file path=xl/sharedStrings.xml><?xml version="1.0" encoding="utf-8"?>
<sst xmlns="http://schemas.openxmlformats.org/spreadsheetml/2006/main" count="57" uniqueCount="32">
  <si>
    <t>regimen_natural_subterraneas</t>
  </si>
  <si>
    <t>regimen_natural_superficiales</t>
  </si>
  <si>
    <t>otras_subterraneas_BNORE</t>
  </si>
  <si>
    <t>Recursos Propios de la cuenca</t>
  </si>
  <si>
    <t>Trasvases</t>
  </si>
  <si>
    <t>ACUAMED_aguilas_valdelentisco_torrevieja</t>
  </si>
  <si>
    <t>TTS_trasvase_tajo_segura</t>
  </si>
  <si>
    <t>TNA_trasvase_negratin_almanzora</t>
  </si>
  <si>
    <t>MCT_san_pedro_alicante</t>
  </si>
  <si>
    <t>Desalación</t>
  </si>
  <si>
    <t>regenarada_o_directa</t>
  </si>
  <si>
    <t>OTROS_retornos_riego_azarbes</t>
  </si>
  <si>
    <t>TOTAL</t>
  </si>
  <si>
    <t>Reutilización</t>
  </si>
  <si>
    <t>Salidas al mar por azarbes</t>
  </si>
  <si>
    <t>total_anual</t>
  </si>
  <si>
    <t>total_mensual</t>
  </si>
  <si>
    <t>total_diario</t>
  </si>
  <si>
    <t>UDA</t>
  </si>
  <si>
    <t>UDU</t>
  </si>
  <si>
    <t>AMBIENTAL</t>
  </si>
  <si>
    <t>UDI</t>
  </si>
  <si>
    <t>UDRG</t>
  </si>
  <si>
    <t>Unidades de demanda consuntivas</t>
  </si>
  <si>
    <t>OTROS_escombreras_CARM_CCRR</t>
  </si>
  <si>
    <t>regenerada_indirecta</t>
  </si>
  <si>
    <t>fugas</t>
  </si>
  <si>
    <t>superficial</t>
  </si>
  <si>
    <t>trasvase</t>
  </si>
  <si>
    <t>subterranea</t>
  </si>
  <si>
    <t>desalada</t>
  </si>
  <si>
    <t>reutilizada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</si>
</sst>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E527-8C9B-4EB7-A78C-1B3E5A614B7C}">
  <dimension ref="A1:O3"/>
  <sheetViews>
    <sheetView topLeftCell="F1" workbookViewId="0">
      <selection activeCell="F2" sqref="F2"/>
    </sheetView>
  </sheetViews>
  <sheetFormatPr defaultColWidth="26.5546875" defaultRowHeight="15.05" x14ac:dyDescent="0.3"/>
  <cols>
    <col min="1" max="1" width="26.6640625" bestFit="1" customWidth="1"/>
    <col min="2" max="2" width="27.21875" bestFit="1" customWidth="1"/>
    <col min="3" max="3" width="24.33203125" bestFit="1" customWidth="1"/>
    <col min="4" max="4" width="23.109375" bestFit="1" customWidth="1"/>
    <col min="5" max="5" width="30.77734375" bestFit="1" customWidth="1"/>
    <col min="6" max="6" width="38.5546875" bestFit="1" customWidth="1"/>
    <col min="7" max="7" width="22.6640625" bestFit="1" customWidth="1"/>
    <col min="8" max="8" width="30.33203125" bestFit="1" customWidth="1"/>
    <col min="9" max="9" width="19.6640625" bestFit="1" customWidth="1"/>
    <col min="10" max="10" width="19.109375" bestFit="1" customWidth="1"/>
    <col min="11" max="11" width="27.88671875" bestFit="1" customWidth="1"/>
    <col min="12" max="12" width="22.88671875" bestFit="1" customWidth="1"/>
    <col min="13" max="13" width="10.5546875" bestFit="1" customWidth="1"/>
    <col min="14" max="14" width="13.109375" bestFit="1" customWidth="1"/>
    <col min="15" max="15" width="12" bestFit="1" customWidth="1"/>
  </cols>
  <sheetData>
    <row r="1" spans="1:15" s="2" customFormat="1" x14ac:dyDescent="0.3">
      <c r="A1" s="6" t="s">
        <v>3</v>
      </c>
      <c r="B1" s="6"/>
      <c r="C1" s="6"/>
      <c r="D1" s="6" t="s">
        <v>4</v>
      </c>
      <c r="E1" s="6"/>
      <c r="F1" s="6" t="s">
        <v>9</v>
      </c>
      <c r="G1" s="6"/>
      <c r="H1" s="6"/>
      <c r="I1" s="6" t="s">
        <v>13</v>
      </c>
      <c r="J1" s="6"/>
      <c r="K1" s="6"/>
      <c r="L1" s="3" t="s">
        <v>14</v>
      </c>
      <c r="M1" s="6" t="s">
        <v>12</v>
      </c>
      <c r="N1" s="6"/>
      <c r="O1" s="6"/>
    </row>
    <row r="2" spans="1:15" s="1" customFormat="1" x14ac:dyDescent="0.3">
      <c r="A2" s="4" t="s">
        <v>1</v>
      </c>
      <c r="B2" s="4" t="s">
        <v>0</v>
      </c>
      <c r="C2" s="4" t="s">
        <v>2</v>
      </c>
      <c r="D2" s="4" t="s">
        <v>6</v>
      </c>
      <c r="E2" s="4" t="s">
        <v>7</v>
      </c>
      <c r="F2" s="4" t="s">
        <v>5</v>
      </c>
      <c r="G2" s="4" t="s">
        <v>8</v>
      </c>
      <c r="H2" s="4" t="s">
        <v>24</v>
      </c>
      <c r="I2" s="4" t="s">
        <v>10</v>
      </c>
      <c r="J2" s="4" t="s">
        <v>25</v>
      </c>
      <c r="K2" s="4" t="s">
        <v>11</v>
      </c>
      <c r="L2" s="4" t="s">
        <v>26</v>
      </c>
      <c r="M2" s="4" t="s">
        <v>15</v>
      </c>
      <c r="N2" s="4" t="s">
        <v>16</v>
      </c>
      <c r="O2" s="4" t="s">
        <v>17</v>
      </c>
    </row>
    <row r="3" spans="1:15" x14ac:dyDescent="0.3">
      <c r="A3" s="5">
        <v>500</v>
      </c>
      <c r="B3" s="5">
        <v>300</v>
      </c>
      <c r="C3" s="5">
        <v>200</v>
      </c>
      <c r="D3" s="5">
        <v>300</v>
      </c>
      <c r="E3" s="5">
        <v>20</v>
      </c>
      <c r="F3" s="5">
        <v>190</v>
      </c>
      <c r="G3" s="5">
        <v>80</v>
      </c>
      <c r="H3" s="5">
        <v>30</v>
      </c>
      <c r="I3" s="5">
        <v>90</v>
      </c>
      <c r="J3" s="5">
        <v>50</v>
      </c>
      <c r="K3" s="5">
        <v>60</v>
      </c>
      <c r="L3" s="5">
        <v>-60</v>
      </c>
      <c r="M3" s="5">
        <f>SUM(A3:L3)</f>
        <v>1760</v>
      </c>
      <c r="N3" s="5">
        <f>M3/12</f>
        <v>146.66666666666666</v>
      </c>
      <c r="O3" s="5">
        <f>M3/365</f>
        <v>4.8219178082191778</v>
      </c>
    </row>
  </sheetData>
  <mergeCells count="5">
    <mergeCell ref="A1:C1"/>
    <mergeCell ref="D1:E1"/>
    <mergeCell ref="F1:H1"/>
    <mergeCell ref="I1:K1"/>
    <mergeCell ref="M1:O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0F22-B7AF-49FC-96BF-F337F0871816}">
  <dimension ref="A1:G6"/>
  <sheetViews>
    <sheetView tabSelected="1" workbookViewId="0">
      <selection activeCell="A5" sqref="A5"/>
    </sheetView>
  </sheetViews>
  <sheetFormatPr defaultRowHeight="15.05" x14ac:dyDescent="0.3"/>
  <cols>
    <col min="1" max="1" width="25.88671875" bestFit="1" customWidth="1"/>
    <col min="2" max="2" width="26.33203125" bestFit="1" customWidth="1"/>
    <col min="3" max="3" width="30" bestFit="1" customWidth="1"/>
    <col min="4" max="4" width="37.33203125" bestFit="1" customWidth="1"/>
    <col min="5" max="5" width="27.44140625" bestFit="1" customWidth="1"/>
  </cols>
  <sheetData>
    <row r="1" spans="1:7" x14ac:dyDescent="0.3">
      <c r="A1" s="1" t="s">
        <v>27</v>
      </c>
      <c r="B1" s="1" t="s">
        <v>29</v>
      </c>
      <c r="C1" s="1" t="s">
        <v>28</v>
      </c>
      <c r="D1" s="1" t="s">
        <v>30</v>
      </c>
      <c r="E1" s="1" t="s">
        <v>31</v>
      </c>
      <c r="F1" s="1" t="s">
        <v>26</v>
      </c>
      <c r="G1" s="1" t="s">
        <v>12</v>
      </c>
    </row>
    <row r="2" spans="1:7" x14ac:dyDescent="0.3">
      <c r="A2" t="s">
        <v>1</v>
      </c>
      <c r="B2" t="s">
        <v>0</v>
      </c>
      <c r="C2" t="s">
        <v>6</v>
      </c>
      <c r="D2" t="s">
        <v>5</v>
      </c>
      <c r="E2" t="s">
        <v>10</v>
      </c>
      <c r="F2" t="s">
        <v>26</v>
      </c>
    </row>
    <row r="3" spans="1:7" x14ac:dyDescent="0.3">
      <c r="B3" t="s">
        <v>2</v>
      </c>
      <c r="C3" t="s">
        <v>7</v>
      </c>
      <c r="D3" t="s">
        <v>8</v>
      </c>
      <c r="E3" t="s">
        <v>25</v>
      </c>
    </row>
    <row r="4" spans="1:7" x14ac:dyDescent="0.3">
      <c r="D4" t="s">
        <v>24</v>
      </c>
      <c r="E4" t="s">
        <v>11</v>
      </c>
    </row>
    <row r="5" spans="1:7" x14ac:dyDescent="0.3">
      <c r="A5" s="1" t="s">
        <v>27</v>
      </c>
      <c r="B5" s="1" t="s">
        <v>29</v>
      </c>
      <c r="C5" s="1" t="s">
        <v>28</v>
      </c>
      <c r="D5" s="1" t="s">
        <v>30</v>
      </c>
      <c r="E5" s="1" t="s">
        <v>31</v>
      </c>
      <c r="F5" s="1" t="s">
        <v>26</v>
      </c>
      <c r="G5" s="1" t="s">
        <v>12</v>
      </c>
    </row>
    <row r="6" spans="1:7" x14ac:dyDescent="0.3">
      <c r="A6">
        <f>RECURSOS_HM3_YEAR!A3</f>
        <v>500</v>
      </c>
      <c r="B6">
        <f>SUM(RECURSOS_HM3_YEAR!B3:C3)</f>
        <v>500</v>
      </c>
      <c r="C6">
        <f>SUM(RECURSOS_HM3_YEAR!D3:E3)</f>
        <v>320</v>
      </c>
      <c r="D6">
        <f>SUM(RECURSOS_HM3_YEAR!F3:H3)</f>
        <v>300</v>
      </c>
      <c r="E6">
        <f>SUM(RECURSOS_HM3_YEAR!I3:K3)</f>
        <v>200</v>
      </c>
      <c r="F6">
        <f>RECURSOS_HM3_YEAR!L3</f>
        <v>-60</v>
      </c>
      <c r="G6">
        <f>SUM(A6:F6)</f>
        <v>1760</v>
      </c>
    </row>
  </sheetData>
  <pageMargins left="0.7" right="0.7" top="0.75" bottom="0.75" header="0.3" footer="0.3"/>
  <ignoredErrors>
    <ignoredError sqref="B6:E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9304-8CD5-4386-BFE5-E1E8EAE2825A}">
  <dimension ref="A1:H3"/>
  <sheetViews>
    <sheetView workbookViewId="0">
      <selection activeCell="C2" sqref="C2"/>
    </sheetView>
  </sheetViews>
  <sheetFormatPr defaultRowHeight="15.05" x14ac:dyDescent="0.3"/>
  <cols>
    <col min="1" max="1" width="5" bestFit="1" customWidth="1"/>
    <col min="2" max="2" width="4.88671875" bestFit="1" customWidth="1"/>
    <col min="3" max="3" width="11.109375" bestFit="1" customWidth="1"/>
    <col min="4" max="4" width="4.109375" bestFit="1" customWidth="1"/>
    <col min="5" max="5" width="5.88671875" bestFit="1" customWidth="1"/>
    <col min="6" max="6" width="10.5546875" bestFit="1" customWidth="1"/>
    <col min="7" max="7" width="13.109375" bestFit="1" customWidth="1"/>
    <col min="8" max="8" width="12" bestFit="1" customWidth="1"/>
  </cols>
  <sheetData>
    <row r="1" spans="1:8" x14ac:dyDescent="0.3">
      <c r="A1" s="7" t="s">
        <v>23</v>
      </c>
      <c r="B1" s="7"/>
      <c r="C1" s="7"/>
      <c r="D1" s="7"/>
      <c r="E1" s="7"/>
      <c r="F1" s="7" t="s">
        <v>12</v>
      </c>
      <c r="G1" s="7"/>
      <c r="H1" s="7"/>
    </row>
    <row r="2" spans="1: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15</v>
      </c>
      <c r="G2" s="1" t="s">
        <v>16</v>
      </c>
      <c r="H2" s="1" t="s">
        <v>17</v>
      </c>
    </row>
    <row r="3" spans="1:8" x14ac:dyDescent="0.3">
      <c r="A3">
        <v>1500</v>
      </c>
      <c r="B3">
        <v>200</v>
      </c>
      <c r="C3">
        <v>30</v>
      </c>
      <c r="D3">
        <v>15</v>
      </c>
      <c r="E3">
        <v>15</v>
      </c>
      <c r="F3">
        <f>SUM(A3:E3)</f>
        <v>1760</v>
      </c>
      <c r="G3">
        <f>F3/12</f>
        <v>146.66666666666666</v>
      </c>
      <c r="H3">
        <f>F3/365</f>
        <v>4.8219178082191778</v>
      </c>
    </row>
  </sheetData>
  <mergeCells count="2">
    <mergeCell ref="A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RECURSOS_HM3_YEAR</vt:lpstr>
      <vt:lpstr>RECURSOS_CLASIFICADOS_HM3_YEAR</vt:lpstr>
      <vt:lpstr>DEMANDAS-HM3-YEAR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Maiza Galparsoro</dc:creator>
  <cp:lastModifiedBy>Mikel Maiza Galparsoro</cp:lastModifiedBy>
  <dcterms:created xsi:type="dcterms:W3CDTF">2022-11-02T15:05:36Z</dcterms:created>
  <dcterms:modified xsi:type="dcterms:W3CDTF">2022-11-06T12:39:54Z</dcterms:modified>
</cp:coreProperties>
</file>